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nathan\Downloads\EPICODE\"/>
    </mc:Choice>
  </mc:AlternateContent>
  <xr:revisionPtr revIDLastSave="0" documentId="8_{3A55D5BE-E140-41B0-BF56-31A3E1CBA8B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rodotti" sheetId="1" r:id="rId1"/>
  </sheets>
  <definedNames>
    <definedName name="_xlchart.v2.0" hidden="1">Prodotti!$B$3:$B$12</definedName>
    <definedName name="_xlchart.v2.1" hidden="1">Prodotti!$E$2</definedName>
    <definedName name="_xlchart.v2.2" hidden="1">Prodotti!$E$3:$E$12</definedName>
    <definedName name="_xlchart.v2.3" hidden="1">Prodotti!$B$3:$B$12</definedName>
    <definedName name="_xlchart.v2.4" hidden="1">Prodotti!$E$2</definedName>
    <definedName name="_xlchart.v2.5" hidden="1">Prodotti!$E$3:$E$12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19" i="1"/>
  <c r="B31" i="1"/>
  <c r="B26" i="1"/>
  <c r="B27" i="1"/>
  <c r="B28" i="1"/>
  <c r="B29" i="1"/>
  <c r="B30" i="1"/>
  <c r="B23" i="1"/>
  <c r="B24" i="1"/>
  <c r="B25" i="1"/>
  <c r="B22" i="1"/>
  <c r="E13" i="1"/>
  <c r="B16" i="1"/>
  <c r="B17" i="1"/>
  <c r="B18" i="1"/>
  <c r="B15" i="1"/>
  <c r="A15" i="1" a="1"/>
  <c r="A15" i="1" s="1"/>
  <c r="E4" i="1"/>
  <c r="E5" i="1"/>
  <c r="E6" i="1"/>
  <c r="E7" i="1"/>
  <c r="E8" i="1"/>
  <c r="E9" i="1"/>
  <c r="E10" i="1"/>
  <c r="E11" i="1"/>
  <c r="E12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<sst xmlns="http://schemas.openxmlformats.org/spreadsheetml/2006/main" count="41" uniqueCount="23">
  <si>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</si>
  <si>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</si>
  <si>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</si>
  <si>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</si>
  <si>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</si>
  <si>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</si>
  <si>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</si>
  <si>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</si>
  <si>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</si>
  <si>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</si>
  <si>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</si>
  <si>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</si>
  <si>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</si>
  <si>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</si>
  <si>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</si>
  <si>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</si>
  <si>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</si>
  <si>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</si>
  <si>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</si>
  <si>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 xml:space="preserve"> </t>
  </si>
  <si>
    <t>Totale Spesa per Azienda</t>
  </si>
  <si>
    <t>Totale per Prodotto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</si>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</sst>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3" fillId="0" borderId="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1783854116525533"/>
          <c:y val="0.12459238456510852"/>
          <c:w val="0.72145526344802136"/>
          <c:h val="0.824469787186225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Prodotti!$B$14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Prodotti!$B$15:$B$18</c:f>
              <c:numCache>
                <c:formatCode>#,##0\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1-4B04-93D7-6CD252285E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2047871648"/>
        <c:axId val="2047872608"/>
      </c:barChart>
      <c:catAx>
        <c:axId val="204787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7872608"/>
        <c:crosses val="autoZero"/>
        <c:auto val="1"/>
        <c:lblAlgn val="ctr"/>
        <c:lblOffset val="100"/>
        <c:noMultiLvlLbl val="0"/>
      </c:catAx>
      <c:valAx>
        <c:axId val="2047872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787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5504014432015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Prodotti!$B$14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C0-4CBF-A9CB-F8ABA68E81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EC0-4CBF-A9CB-F8ABA68E81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C0-4CBF-A9CB-F8ABA68E81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EC0-4CBF-A9CB-F8ABA68E812A}"/>
              </c:ext>
            </c:extLst>
          </c:dPt>
          <c:dLbls>
            <c:dLbl>
              <c:idx val="0"/>
              <c:layout>
                <c:manualLayout>
                  <c:x val="-8.6012295297879252E-2"/>
                  <c:y val="0.1538812598425196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C0-4CBF-A9CB-F8ABA68E812A}"/>
                </c:ext>
              </c:extLst>
            </c:dLbl>
            <c:dLbl>
              <c:idx val="1"/>
              <c:layout>
                <c:manualLayout>
                  <c:x val="-7.1683288688244903E-2"/>
                  <c:y val="-0.1618400000000001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C0-4CBF-A9CB-F8ABA68E812A}"/>
                </c:ext>
              </c:extLst>
            </c:dLbl>
            <c:dLbl>
              <c:idx val="2"/>
              <c:layout>
                <c:manualLayout>
                  <c:x val="0.11901021636320157"/>
                  <c:y val="-8.884220472440937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C0-4CBF-A9CB-F8ABA68E812A}"/>
                </c:ext>
              </c:extLst>
            </c:dLbl>
            <c:dLbl>
              <c:idx val="3"/>
              <c:layout>
                <c:manualLayout>
                  <c:x val="6.3933441670280144E-2"/>
                  <c:y val="0.1671338582677165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C0-4CBF-A9CB-F8ABA68E81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Prodotti!$A$15:$A$18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Prodotti!$B$15:$B$18</c:f>
              <c:numCache>
                <c:formatCode>#,##0\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0-4CBF-A9CB-F8ABA68E812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layout>
        <c:manualLayout>
          <c:xMode val="edge"/>
          <c:yMode val="edge"/>
          <c:x val="7.5110392818925592E-2"/>
          <c:y val="4.165516336569898E-2"/>
          <c:w val="0.84616325254064706"/>
          <c:h val="8.8136608604592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Quantità dei Prodotti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2.171945701357466E-2"/>
          <c:y val="5.3441711789031322E-2"/>
          <c:w val="0.96018099547511315"/>
          <c:h val="0.917697137716548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Prodotti!$C$2</c:f>
              <c:strCache>
                <c:ptCount val="1"/>
                <c:pt idx="0">
                  <c:v>Quantità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Prodotti!$B$3:$B$12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Prodotti!$C$3:$C$12</c:f>
              <c:numCache>
                <c:formatCode>0</c:formatCode>
                <c:ptCount val="10"/>
                <c:pt idx="0">
                  <c:v>500</c:v>
                </c:pt>
                <c:pt idx="1">
                  <c:v>1200</c:v>
                </c:pt>
                <c:pt idx="2">
                  <c:v>800</c:v>
                </c:pt>
                <c:pt idx="3">
                  <c:v>300</c:v>
                </c:pt>
                <c:pt idx="4">
                  <c:v>1500</c:v>
                </c:pt>
                <c:pt idx="5">
                  <c:v>700</c:v>
                </c:pt>
                <c:pt idx="6">
                  <c:v>900</c:v>
                </c:pt>
                <c:pt idx="7">
                  <c:v>1100</c:v>
                </c:pt>
                <c:pt idx="8">
                  <c:v>600</c:v>
                </c:pt>
                <c:pt idx="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6-403C-827B-093C970817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47874528"/>
        <c:axId val="2047870208"/>
      </c:barChart>
      <c:catAx>
        <c:axId val="204787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7870208"/>
        <c:crosses val="autoZero"/>
        <c:auto val="1"/>
        <c:lblAlgn val="ctr"/>
        <c:lblOffset val="100"/>
        <c:noMultiLvlLbl val="0"/>
      </c:catAx>
      <c:valAx>
        <c:axId val="204787020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4787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it-IT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Totale </a:t>
            </a:r>
            <a:r>
              <a:rPr lang="it-IT" sz="1400" b="0" i="0" u="none" strike="noStrike" baseline="0">
                <a:ln>
                  <a:noFill/>
                </a:ln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per</a:t>
            </a:r>
            <a:r>
              <a:rPr lang="it-IT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 Prodotto</a:t>
            </a:r>
          </a:p>
        </cx:rich>
      </cx:tx>
    </cx:title>
    <cx:plotArea>
      <cx:plotAreaRegion>
        <cx:series layoutId="funnel" uniqueId="{8641DC0F-BA36-46F9-B36F-878D254C942A}">
          <cx:tx>
            <cx:txData>
              <cx:f>_xlchart.v2.1</cx:f>
              <cx:v>Totale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="1">
                    <a:solidFill>
                      <a:schemeClr val="bg1"/>
                    </a:solidFill>
                  </a:defRPr>
                </a:pPr>
                <a:endParaRPr lang="it-IT" sz="1600" b="1" i="0" u="none" strike="noStrike" baseline="0">
                  <a:solidFill>
                    <a:schemeClr val="bg1"/>
                  </a:solidFill>
                  <a:latin typeface="Arial"/>
                  <a:cs typeface="Arial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12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it-IT" sz="11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endParaRPr>
          </a:p>
        </cx:txPr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9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34773</xdr:colOff>
      <xdr:row>1</xdr:row>
      <xdr:rowOff>28347</xdr:rowOff>
    </xdr:from>
    <xdr:to>
      <xdr:col>11</xdr:col>
      <xdr:colOff>854982</xdr:colOff>
      <xdr:row>24</xdr:row>
      <xdr:rowOff>122086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2B6B4D1-9D84-B14C-1B36-057295B16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30617</xdr:colOff>
      <xdr:row>25</xdr:row>
      <xdr:rowOff>58207</xdr:rowOff>
    </xdr:from>
    <xdr:to>
      <xdr:col>11</xdr:col>
      <xdr:colOff>864054</xdr:colOff>
      <xdr:row>49</xdr:row>
      <xdr:rowOff>5291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0149D54-3950-91B5-054B-F5135CB9F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79375</xdr:colOff>
      <xdr:row>1</xdr:row>
      <xdr:rowOff>79375</xdr:rowOff>
    </xdr:from>
    <xdr:to>
      <xdr:col>19</xdr:col>
      <xdr:colOff>873125</xdr:colOff>
      <xdr:row>49</xdr:row>
      <xdr:rowOff>171979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2D150A3-45CE-6C2A-50B5-59F017314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49660</xdr:colOff>
      <xdr:row>1</xdr:row>
      <xdr:rowOff>165424</xdr:rowOff>
    </xdr:from>
    <xdr:to>
      <xdr:col>27</xdr:col>
      <xdr:colOff>430660</xdr:colOff>
      <xdr:row>48</xdr:row>
      <xdr:rowOff>87108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962E7C9E-2238-F2E0-9546-E0896F7097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05878" y="360809"/>
              <a:ext cx="6592603" cy="91047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2"/>
  <sheetViews>
    <sheetView tabSelected="1" view="pageLayout" topLeftCell="D1" zoomScale="78" zoomScaleNormal="82" zoomScalePageLayoutView="78" workbookViewId="0">
      <selection activeCell="C44" sqref="C44"/>
    </sheetView>
  </sheetViews>
  <sheetFormatPr defaultColWidth="12.6328125" defaultRowHeight="15.75" customHeight="1" x14ac:dyDescent="0.25"/>
  <cols>
    <col min="1" max="1" width="19.7265625" customWidth="1"/>
    <col min="2" max="3" width="22.36328125" customWidth="1"/>
    <col min="4" max="4" width="24" customWidth="1"/>
    <col min="6" max="6" width="24.7265625" bestFit="1" customWidth="1"/>
  </cols>
  <sheetData>
    <row r="1" spans="1:26" ht="15.75" customHeight="1" x14ac:dyDescent="0.25">
      <c r="A1" t="s">
        <v>19</v>
      </c>
    </row>
    <row r="2" spans="1:26" ht="15.7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 t="s">
        <v>5</v>
      </c>
      <c r="B3" s="3" t="s">
        <v>6</v>
      </c>
      <c r="C3" s="4">
        <v>500</v>
      </c>
      <c r="D3" s="5">
        <v>15.75</v>
      </c>
      <c r="E3" s="10">
        <f>C3*D3</f>
        <v>7875</v>
      </c>
    </row>
    <row r="4" spans="1:26" ht="15.75" customHeight="1" x14ac:dyDescent="0.25">
      <c r="A4" s="3" t="s">
        <v>5</v>
      </c>
      <c r="B4" s="3" t="s">
        <v>7</v>
      </c>
      <c r="C4" s="4">
        <v>1200</v>
      </c>
      <c r="D4" s="5">
        <v>8.5</v>
      </c>
      <c r="E4" s="10">
        <f t="shared" ref="E4:E12" si="0">C4*D4</f>
        <v>10200</v>
      </c>
    </row>
    <row r="5" spans="1:26" ht="15.75" customHeight="1" x14ac:dyDescent="0.25">
      <c r="A5" s="3" t="s">
        <v>8</v>
      </c>
      <c r="B5" s="3" t="s">
        <v>9</v>
      </c>
      <c r="C5" s="4">
        <v>800</v>
      </c>
      <c r="D5" s="5">
        <v>12.25</v>
      </c>
      <c r="E5" s="10">
        <f t="shared" si="0"/>
        <v>9800</v>
      </c>
    </row>
    <row r="6" spans="1:26" ht="15.75" customHeight="1" x14ac:dyDescent="0.25">
      <c r="A6" s="3" t="s">
        <v>5</v>
      </c>
      <c r="B6" s="3" t="s">
        <v>10</v>
      </c>
      <c r="C6" s="4">
        <v>300</v>
      </c>
      <c r="D6" s="5">
        <v>25</v>
      </c>
      <c r="E6" s="10">
        <f t="shared" si="0"/>
        <v>7500</v>
      </c>
    </row>
    <row r="7" spans="1:26" ht="15.75" customHeight="1" x14ac:dyDescent="0.25">
      <c r="A7" s="3" t="s">
        <v>8</v>
      </c>
      <c r="B7" s="3" t="s">
        <v>11</v>
      </c>
      <c r="C7" s="4">
        <v>1500</v>
      </c>
      <c r="D7" s="5">
        <v>6.5</v>
      </c>
      <c r="E7" s="10">
        <f t="shared" si="0"/>
        <v>9750</v>
      </c>
    </row>
    <row r="8" spans="1:26" ht="15.75" customHeight="1" x14ac:dyDescent="0.25">
      <c r="A8" s="3" t="s">
        <v>12</v>
      </c>
      <c r="B8" s="3" t="s">
        <v>13</v>
      </c>
      <c r="C8" s="4">
        <v>700</v>
      </c>
      <c r="D8" s="5">
        <v>18.75</v>
      </c>
      <c r="E8" s="10">
        <f t="shared" si="0"/>
        <v>13125</v>
      </c>
    </row>
    <row r="9" spans="1:26" ht="15.75" customHeight="1" x14ac:dyDescent="0.25">
      <c r="A9" s="3" t="s">
        <v>12</v>
      </c>
      <c r="B9" s="3" t="s">
        <v>14</v>
      </c>
      <c r="C9" s="4">
        <v>900</v>
      </c>
      <c r="D9" s="5">
        <v>14</v>
      </c>
      <c r="E9" s="10">
        <f t="shared" si="0"/>
        <v>12600</v>
      </c>
    </row>
    <row r="10" spans="1:26" ht="15.75" customHeight="1" x14ac:dyDescent="0.25">
      <c r="A10" s="3" t="s">
        <v>8</v>
      </c>
      <c r="B10" s="3" t="s">
        <v>15</v>
      </c>
      <c r="C10" s="4">
        <v>1100</v>
      </c>
      <c r="D10" s="5">
        <v>10.5</v>
      </c>
      <c r="E10" s="10">
        <f t="shared" si="0"/>
        <v>11550</v>
      </c>
    </row>
    <row r="11" spans="1:26" ht="15.75" customHeight="1" x14ac:dyDescent="0.25">
      <c r="A11" s="3" t="s">
        <v>12</v>
      </c>
      <c r="B11" s="3" t="s">
        <v>16</v>
      </c>
      <c r="C11" s="4">
        <v>600</v>
      </c>
      <c r="D11" s="5">
        <v>20</v>
      </c>
      <c r="E11" s="10">
        <f t="shared" si="0"/>
        <v>12000</v>
      </c>
    </row>
    <row r="12" spans="1:26" ht="15.75" customHeight="1" x14ac:dyDescent="0.25">
      <c r="A12" s="3" t="s">
        <v>17</v>
      </c>
      <c r="B12" s="3" t="s">
        <v>18</v>
      </c>
      <c r="C12" s="4">
        <v>1000</v>
      </c>
      <c r="D12" s="5">
        <v>13.5</v>
      </c>
      <c r="E12" s="10">
        <f t="shared" si="0"/>
        <v>13500</v>
      </c>
    </row>
    <row r="13" spans="1:26" ht="15.75" customHeight="1" x14ac:dyDescent="0.3">
      <c r="D13" s="8" t="s">
        <v>22</v>
      </c>
      <c r="E13" s="10">
        <f>SUM(E3:E12)</f>
        <v>107900</v>
      </c>
    </row>
    <row r="14" spans="1:26" ht="15.75" customHeight="1" x14ac:dyDescent="0.3">
      <c r="A14" s="7" t="s">
        <v>20</v>
      </c>
      <c r="B14" s="7"/>
    </row>
    <row r="15" spans="1:26" ht="15.75" customHeight="1" x14ac:dyDescent="0.25">
      <c r="A15" s="6" t="str" cm="1">
        <f t="array" ref="A15:A18">_xlfn.UNIQUE(A3:A12)</f>
        <v>Tech Innovations Ltd.</v>
      </c>
      <c r="B15" s="10">
        <f>SUMIF($A$3:$A$12,A15,$E$3:$E$12)</f>
        <v>25575</v>
      </c>
    </row>
    <row r="16" spans="1:26" ht="15.75" customHeight="1" x14ac:dyDescent="0.25">
      <c r="A16" s="6" t="str">
        <v>SolarTech Solutions</v>
      </c>
      <c r="B16" s="10">
        <f t="shared" ref="B16:B18" si="1">SUMIF($A$3:$A$12,A16,$E$3:$E$12)</f>
        <v>31100</v>
      </c>
    </row>
    <row r="17" spans="1:2" ht="15.75" customHeight="1" x14ac:dyDescent="0.25">
      <c r="A17" s="6" t="str">
        <v>AquaLux Dynamics</v>
      </c>
      <c r="B17" s="10">
        <f t="shared" si="1"/>
        <v>37725</v>
      </c>
    </row>
    <row r="18" spans="1:2" ht="15.75" customHeight="1" x14ac:dyDescent="0.25">
      <c r="A18" s="6" t="str">
        <v>EcoVibe Solutions</v>
      </c>
      <c r="B18" s="10">
        <f t="shared" si="1"/>
        <v>13500</v>
      </c>
    </row>
    <row r="19" spans="1:2" ht="15.75" customHeight="1" x14ac:dyDescent="0.3">
      <c r="A19" s="11" t="s">
        <v>22</v>
      </c>
      <c r="B19" s="10">
        <f>SUM(B15:B18)</f>
        <v>107900</v>
      </c>
    </row>
    <row r="21" spans="1:2" ht="15.75" customHeight="1" x14ac:dyDescent="0.3">
      <c r="A21" s="7" t="s">
        <v>21</v>
      </c>
      <c r="B21" s="7"/>
    </row>
    <row r="22" spans="1:2" ht="15.75" customHeight="1" x14ac:dyDescent="0.25">
      <c r="A22" s="3" t="s">
        <v>6</v>
      </c>
      <c r="B22" s="9">
        <f>C3*D3</f>
        <v>7875</v>
      </c>
    </row>
    <row r="23" spans="1:2" ht="15.75" customHeight="1" x14ac:dyDescent="0.25">
      <c r="A23" s="3" t="s">
        <v>7</v>
      </c>
      <c r="B23" s="9">
        <f>C4*D4</f>
        <v>10200</v>
      </c>
    </row>
    <row r="24" spans="1:2" ht="15.75" customHeight="1" x14ac:dyDescent="0.25">
      <c r="A24" s="3" t="s">
        <v>9</v>
      </c>
      <c r="B24" s="9">
        <f>C5*D5</f>
        <v>9800</v>
      </c>
    </row>
    <row r="25" spans="1:2" ht="15.75" customHeight="1" x14ac:dyDescent="0.25">
      <c r="A25" s="3" t="s">
        <v>10</v>
      </c>
      <c r="B25" s="9">
        <f>C6*D6</f>
        <v>7500</v>
      </c>
    </row>
    <row r="26" spans="1:2" ht="15.75" customHeight="1" x14ac:dyDescent="0.25">
      <c r="A26" s="3" t="s">
        <v>11</v>
      </c>
      <c r="B26" s="9">
        <f>C7*D7</f>
        <v>9750</v>
      </c>
    </row>
    <row r="27" spans="1:2" ht="15.75" customHeight="1" x14ac:dyDescent="0.25">
      <c r="A27" s="3" t="s">
        <v>13</v>
      </c>
      <c r="B27" s="9">
        <f>C8*D8</f>
        <v>13125</v>
      </c>
    </row>
    <row r="28" spans="1:2" ht="15.75" customHeight="1" x14ac:dyDescent="0.25">
      <c r="A28" s="3" t="s">
        <v>14</v>
      </c>
      <c r="B28" s="9">
        <f>C9*D9</f>
        <v>12600</v>
      </c>
    </row>
    <row r="29" spans="1:2" ht="15.75" customHeight="1" x14ac:dyDescent="0.25">
      <c r="A29" s="3" t="s">
        <v>15</v>
      </c>
      <c r="B29" s="9">
        <f>C10*D10</f>
        <v>11550</v>
      </c>
    </row>
    <row r="30" spans="1:2" ht="15.75" customHeight="1" x14ac:dyDescent="0.25">
      <c r="A30" s="3" t="s">
        <v>16</v>
      </c>
      <c r="B30" s="9">
        <f>C11*D11</f>
        <v>12000</v>
      </c>
    </row>
    <row r="31" spans="1:2" ht="15.75" customHeight="1" x14ac:dyDescent="0.25">
      <c r="A31" s="3" t="s">
        <v>18</v>
      </c>
      <c r="B31" s="9">
        <f>C12*D12</f>
        <v>13500</v>
      </c>
    </row>
    <row r="32" spans="1:2" ht="15.75" customHeight="1" x14ac:dyDescent="0.3">
      <c r="A32" s="11" t="s">
        <v>22</v>
      </c>
      <c r="B32" s="9">
        <f>SUM(B22:B31)</f>
        <v>107900</v>
      </c>
    </row>
  </sheetData>
  <mergeCells count="2">
    <mergeCell ref="A14:B14"/>
    <mergeCell ref="A21:B21"/>
  </mergeCells>
  <pageMargins left="0.19685039370078741" right="0.19685039370078741" top="0.39370078740157483" bottom="0.39370078740157483" header="0.31496062992125984" footer="0.31496062992125984"/>
  <pageSetup paperSize="9" orientation="portrait" r:id="rId1"/>
  <headerFooter differentOddEven="1" differentFirst="1" scaleWithDoc="0" alignWithMargins="0">
    <oddHeader>&amp;CGrafici Prodotti - Parte 1</oddHeader>
    <oddFooter>&amp;C&amp;D&amp;R&amp;P</oddFooter>
    <evenHeader>&amp;CGrafici Aziende</evenHeader>
    <evenFooter>&amp;C&amp;D&amp;R&amp;P</evenFooter>
    <firstHeader>&amp;CSpese Recenti</firstHeader>
    <firstFooter>&amp;C&amp;D&amp;R&amp;P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 Santhanam</cp:lastModifiedBy>
  <cp:lastPrinted>2025-09-09T21:12:23Z</cp:lastPrinted>
  <dcterms:created xsi:type="dcterms:W3CDTF">2025-09-09T14:14:34Z</dcterms:created>
  <dcterms:modified xsi:type="dcterms:W3CDTF">2025-09-09T21:13:51Z</dcterms:modified>
</cp:coreProperties>
</file>